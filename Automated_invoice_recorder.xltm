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un\OneDrive\Desktop\UPWork\"/>
    </mc:Choice>
  </mc:AlternateContent>
  <xr:revisionPtr revIDLastSave="0" documentId="13_ncr:1_{A863F144-8951-423B-9D56-1E39D1FCD4DC}" xr6:coauthVersionLast="47" xr6:coauthVersionMax="47" xr10:uidLastSave="{00000000-0000-0000-0000-000000000000}"/>
  <bookViews>
    <workbookView xWindow="-108" yWindow="-108" windowWidth="23256" windowHeight="12456" xr2:uid="{257B3BBB-2AF1-4E8B-AB8D-C91003FCA64A}"/>
  </bookViews>
  <sheets>
    <sheet name="Invoice Template" sheetId="1" r:id="rId1"/>
    <sheet name="Customers" sheetId="2" r:id="rId2"/>
    <sheet name="Record of Invoices" sheetId="4" r:id="rId3"/>
  </sheets>
  <definedNames>
    <definedName name="Customer_Name">Customer_list[Customer Name]</definedName>
    <definedName name="_xlnm.Print_Area" localSheetId="0">'Invoice Template'!$B$1:$J$44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" l="1"/>
  <c r="B13" i="1"/>
  <c r="B12" i="1"/>
  <c r="B11" i="1"/>
  <c r="B10" i="1"/>
  <c r="J16" i="1"/>
  <c r="I16" i="1"/>
  <c r="J36" i="1" s="1"/>
  <c r="J35" i="1"/>
  <c r="J37" i="1" l="1"/>
</calcChain>
</file>

<file path=xl/sharedStrings.xml><?xml version="1.0" encoding="utf-8"?>
<sst xmlns="http://schemas.openxmlformats.org/spreadsheetml/2006/main" count="60" uniqueCount="54">
  <si>
    <t>Fin Company                                                     Invoice</t>
  </si>
  <si>
    <t>Invoice No:</t>
  </si>
  <si>
    <t>PO No:</t>
  </si>
  <si>
    <t>Date</t>
  </si>
  <si>
    <t>Terms (Days)</t>
  </si>
  <si>
    <t>Invoice To:</t>
  </si>
  <si>
    <t>Description</t>
  </si>
  <si>
    <t>Qty</t>
  </si>
  <si>
    <t>Vat</t>
  </si>
  <si>
    <t>Price</t>
  </si>
  <si>
    <t>Total(excld.vat)</t>
  </si>
  <si>
    <t>Customer Message</t>
  </si>
  <si>
    <t>Sub Total</t>
  </si>
  <si>
    <t>Total</t>
  </si>
  <si>
    <t>Company Details</t>
  </si>
  <si>
    <t>Company No:</t>
  </si>
  <si>
    <t>Vat No:</t>
  </si>
  <si>
    <t>Tel No:</t>
  </si>
  <si>
    <t>Email</t>
  </si>
  <si>
    <t>Payment Details</t>
  </si>
  <si>
    <t>Acc.No:</t>
  </si>
  <si>
    <t>Bank</t>
  </si>
  <si>
    <t>Swift Code</t>
  </si>
  <si>
    <t>Other</t>
  </si>
  <si>
    <t>Customer Name</t>
  </si>
  <si>
    <t>ABC Ltd</t>
  </si>
  <si>
    <t>abc@email.com</t>
  </si>
  <si>
    <t>XYZ Ltd</t>
  </si>
  <si>
    <t>xyz@email.com</t>
  </si>
  <si>
    <t>PQR Ltd</t>
  </si>
  <si>
    <t>pqr@email.com</t>
  </si>
  <si>
    <t>Street</t>
  </si>
  <si>
    <t>Address</t>
  </si>
  <si>
    <t>City</t>
  </si>
  <si>
    <t>State</t>
  </si>
  <si>
    <t>PIN</t>
  </si>
  <si>
    <t>Abc street</t>
  </si>
  <si>
    <t>Suit No:123</t>
  </si>
  <si>
    <t>Fairfeild</t>
  </si>
  <si>
    <t>CA</t>
  </si>
  <si>
    <t>xyz Street</t>
  </si>
  <si>
    <t>Suit No:456</t>
  </si>
  <si>
    <t>Rocklin</t>
  </si>
  <si>
    <t>Huston</t>
  </si>
  <si>
    <t>pqr Street</t>
  </si>
  <si>
    <t>Suit No:789</t>
  </si>
  <si>
    <t>Aurborn</t>
  </si>
  <si>
    <t>Texas</t>
  </si>
  <si>
    <t>Company</t>
  </si>
  <si>
    <t>Amount</t>
  </si>
  <si>
    <t>Date Issue</t>
  </si>
  <si>
    <t>Due Date</t>
  </si>
  <si>
    <t>Paid</t>
  </si>
  <si>
    <t>PO1002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</si>
</sst>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Baskerville Old Face"/>
      <family val="1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0" fillId="0" borderId="2" xfId="0" applyBorder="1"/>
    <xf numFmtId="0" fontId="4" fillId="2" borderId="2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2" borderId="0" xfId="0" applyFont="1" applyFill="1"/>
    <xf numFmtId="0" fontId="3" fillId="0" borderId="0" xfId="0" applyFont="1"/>
    <xf numFmtId="0" fontId="2" fillId="2" borderId="0" xfId="0" applyFont="1" applyFill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44" fontId="0" fillId="0" borderId="2" xfId="1" applyFont="1" applyBorder="1"/>
    <xf numFmtId="44" fontId="0" fillId="0" borderId="10" xfId="1" applyFont="1" applyBorder="1"/>
    <xf numFmtId="44" fontId="0" fillId="0" borderId="5" xfId="1" applyFont="1" applyBorder="1"/>
    <xf numFmtId="0" fontId="5" fillId="0" borderId="0" xfId="0" applyFont="1"/>
    <xf numFmtId="0" fontId="5" fillId="0" borderId="3" xfId="0" applyFont="1" applyBorder="1"/>
    <xf numFmtId="0" fontId="5" fillId="0" borderId="4" xfId="0" applyFont="1" applyBorder="1"/>
    <xf numFmtId="0" fontId="5" fillId="0" borderId="7" xfId="0" applyFont="1" applyBorder="1"/>
    <xf numFmtId="0" fontId="5" fillId="0" borderId="8" xfId="0" applyFont="1" applyBorder="1"/>
    <xf numFmtId="0" fontId="6" fillId="0" borderId="0" xfId="2"/>
    <xf numFmtId="0" fontId="0" fillId="0" borderId="22" xfId="0" applyBorder="1"/>
    <xf numFmtId="0" fontId="0" fillId="0" borderId="2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3" borderId="6" xfId="0" applyFill="1" applyBorder="1"/>
    <xf numFmtId="0" fontId="0" fillId="3" borderId="8" xfId="0" applyFill="1" applyBorder="1"/>
    <xf numFmtId="0" fontId="4" fillId="2" borderId="0" xfId="0" applyFont="1" applyFill="1" applyAlignment="1">
      <alignment horizontal="center"/>
    </xf>
    <xf numFmtId="0" fontId="2" fillId="2" borderId="0" xfId="0" applyFont="1" applyFill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3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/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7" fontId="0" fillId="0" borderId="0" xfId="0" applyNumberFormat="1"/>
    <xf numFmtId="14" fontId="0" fillId="0" borderId="0" xfId="0" applyNumberFormat="1"/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403860</xdr:colOff>
      <xdr:row>7</xdr:row>
      <xdr:rowOff>76200</xdr:rowOff>
    </xdr:from>
    <xdr:to>
      <xdr:col>14</xdr:col>
      <xdr:colOff>571500</xdr:colOff>
      <xdr:row>9</xdr:row>
      <xdr:rowOff>99060</xdr:rowOff>
    </xdr:to>
    <xdr:sp macro="[0]!RecordOf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E3F1CE-2085-1335-BD63-D3A1F95CBE13}"/>
            </a:ext>
          </a:extLst>
        </xdr:cNvPr>
        <xdr:cNvSpPr/>
      </xdr:nvSpPr>
      <xdr:spPr>
        <a:xfrm>
          <a:off x="8092440" y="1524000"/>
          <a:ext cx="1996440" cy="38862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Record of Invoices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79C1-FFFC-4FAC-9775-47160D9B3020}" name="Customer_list" displayName="Customer_list" ref="A1:G4" totalsRowShown="0">
  <autoFilter ref="A1:G4" xr:uid="{F9D079C1-FFFC-4FAC-9775-47160D9B3020}"/>
  <tableColumns count="7">
    <tableColumn id="1" xr3:uid="{1E984F7A-4358-48EA-8156-AF70D1CB61EA}" name="Customer Name"/>
    <tableColumn id="2" xr3:uid="{861E6667-02E7-4916-84FA-4FA8B120F8EA}" name="Street"/>
    <tableColumn id="3" xr3:uid="{E9C54989-C966-4E65-8505-E465C02A53B3}" name="Address"/>
    <tableColumn id="4" xr3:uid="{D221CB2C-8EC8-4BDC-A021-310752A8A4CE}" name="City"/>
    <tableColumn id="5" xr3:uid="{2A3B5EE8-984E-408C-B719-E80BB086FA51}" name="State"/>
    <tableColumn id="6" xr3:uid="{7B55B4DC-0110-4063-B838-AE6AD11799CD}" name="PIN"/>
    <tableColumn id="7" xr3:uid="{311B02CE-14D4-4F75-B543-70CCD311B1CA}" name="Email" dataCellStyle="Hyperli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qr@email.com" TargetMode="External"/><Relationship Id="rId2" Type="http://schemas.openxmlformats.org/officeDocument/2006/relationships/hyperlink" Target="mailto:xyz@email.com" TargetMode="External"/><Relationship Id="rId1" Type="http://schemas.openxmlformats.org/officeDocument/2006/relationships/hyperlink" Target="mailto:abc@email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458CD-F71A-4C0A-95B4-C6A3322B5968}">
  <sheetPr codeName="Sheet1"/>
  <dimension ref="B1:J44"/>
  <sheetViews>
    <sheetView showGridLines="0" tabSelected="1" workbookViewId="0">
      <selection activeCell="C3" sqref="C3:E3"/>
    </sheetView>
  </sheetViews>
  <sheetFormatPr defaultRowHeight="14.4" x14ac:dyDescent="0.3"/>
  <cols>
    <col min="2" max="2" width="17.44140625" customWidth="1"/>
    <col min="8" max="9" width="8.88671875" customWidth="1"/>
    <col min="10" max="10" width="14.6640625" customWidth="1"/>
  </cols>
  <sheetData>
    <row r="1" spans="2:10" ht="21" x14ac:dyDescent="0.4">
      <c r="B1" s="45" t="s">
        <v>0</v>
      </c>
      <c r="C1" s="46"/>
      <c r="D1" s="46"/>
      <c r="E1" s="46"/>
      <c r="F1" s="46"/>
      <c r="G1" s="46"/>
      <c r="H1" s="46"/>
      <c r="I1" s="46"/>
      <c r="J1" s="47"/>
    </row>
    <row r="2" spans="2:10" ht="21" x14ac:dyDescent="0.4">
      <c r="B2" s="25"/>
      <c r="C2" s="26"/>
      <c r="D2" s="26"/>
      <c r="E2" s="26"/>
      <c r="F2" s="24"/>
      <c r="G2" s="27"/>
      <c r="H2" s="27"/>
      <c r="I2" s="27"/>
      <c r="J2" s="28"/>
    </row>
    <row r="3" spans="2:10" x14ac:dyDescent="0.3">
      <c r="B3" s="3" t="s">
        <v>1</v>
      </c>
      <c r="C3" s="48">
        <v>1002</v>
      </c>
      <c r="D3" s="49"/>
      <c r="E3" s="50"/>
      <c r="G3" s="52"/>
      <c r="H3" s="53"/>
      <c r="I3" s="53"/>
      <c r="J3" s="54"/>
    </row>
    <row r="4" spans="2:10" x14ac:dyDescent="0.3">
      <c r="B4" s="3" t="s">
        <v>2</v>
      </c>
      <c r="C4" s="60" t="s">
        <v>53</v>
      </c>
      <c r="D4" s="61"/>
      <c r="E4" s="62"/>
      <c r="G4" s="55"/>
      <c r="H4" s="36"/>
      <c r="I4" s="36"/>
      <c r="J4" s="56"/>
    </row>
    <row r="5" spans="2:10" x14ac:dyDescent="0.3">
      <c r="B5" s="3" t="s">
        <v>3</v>
      </c>
      <c r="C5" s="51">
        <f ca="1">TODAY()</f>
        <v>45719</v>
      </c>
      <c r="D5" s="49"/>
      <c r="E5" s="50"/>
      <c r="G5" s="55"/>
      <c r="H5" s="36"/>
      <c r="I5" s="36"/>
      <c r="J5" s="56"/>
    </row>
    <row r="6" spans="2:10" x14ac:dyDescent="0.3">
      <c r="B6" s="3" t="s">
        <v>4</v>
      </c>
      <c r="C6" s="48">
        <v>15</v>
      </c>
      <c r="D6" s="49"/>
      <c r="E6" s="50"/>
      <c r="G6" s="55"/>
      <c r="H6" s="36"/>
      <c r="I6" s="36"/>
      <c r="J6" s="56"/>
    </row>
    <row r="7" spans="2:10" x14ac:dyDescent="0.3">
      <c r="G7" s="57"/>
      <c r="H7" s="58"/>
      <c r="I7" s="58"/>
      <c r="J7" s="59"/>
    </row>
    <row r="8" spans="2:10" x14ac:dyDescent="0.3">
      <c r="B8" s="11" t="s">
        <v>5</v>
      </c>
    </row>
    <row r="9" spans="2:10" x14ac:dyDescent="0.3">
      <c r="B9" s="4" t="s">
        <v>29</v>
      </c>
      <c r="C9" s="5"/>
      <c r="D9" s="5"/>
      <c r="E9" s="6"/>
    </row>
    <row r="10" spans="2:10" x14ac:dyDescent="0.3">
      <c r="B10" s="7" t="str">
        <f>VLOOKUP($B$9,Customer_list[],2,FALSE)</f>
        <v>pqr Street</v>
      </c>
      <c r="E10" s="8"/>
    </row>
    <row r="11" spans="2:10" x14ac:dyDescent="0.3">
      <c r="B11" s="7" t="str">
        <f>VLOOKUP($B$9,Customer_list[],3,FALSE)</f>
        <v>Suit No:789</v>
      </c>
      <c r="E11" s="8"/>
    </row>
    <row r="12" spans="2:10" x14ac:dyDescent="0.3">
      <c r="B12" s="7" t="str">
        <f>VLOOKUP($B$9,Customer_list[],4,FALSE)</f>
        <v>Aurborn</v>
      </c>
      <c r="E12" s="8"/>
    </row>
    <row r="13" spans="2:10" x14ac:dyDescent="0.3">
      <c r="B13" s="9" t="str">
        <f>VLOOKUP($B$9,Customer_list[],5,FALSE)</f>
        <v>Texas</v>
      </c>
      <c r="C13" s="1"/>
      <c r="D13" s="1"/>
      <c r="E13" s="10"/>
    </row>
    <row r="15" spans="2:10" x14ac:dyDescent="0.3">
      <c r="B15" s="3" t="s">
        <v>6</v>
      </c>
      <c r="C15" s="2"/>
      <c r="D15" s="2"/>
      <c r="E15" s="2"/>
      <c r="F15" s="2"/>
      <c r="G15" s="3" t="s">
        <v>7</v>
      </c>
      <c r="H15" s="3" t="s">
        <v>9</v>
      </c>
      <c r="I15" s="3" t="s">
        <v>8</v>
      </c>
      <c r="J15" s="3" t="s">
        <v>10</v>
      </c>
    </row>
    <row r="16" spans="2:10" x14ac:dyDescent="0.3">
      <c r="B16" s="2"/>
      <c r="C16" s="2"/>
      <c r="D16" s="2"/>
      <c r="E16" s="2"/>
      <c r="F16" s="2"/>
      <c r="G16" s="2"/>
      <c r="H16" s="21"/>
      <c r="I16" s="21" t="str">
        <f>IF(G16&lt;&gt;"",#REF!*0.2,"")</f>
        <v/>
      </c>
      <c r="J16" s="21" t="str">
        <f>IF(G16&lt;&gt;"",G16*H16,"")</f>
        <v/>
      </c>
    </row>
    <row r="17" spans="2:10" x14ac:dyDescent="0.3">
      <c r="B17" s="2"/>
      <c r="C17" s="2"/>
      <c r="D17" s="2"/>
      <c r="E17" s="2"/>
      <c r="F17" s="2"/>
      <c r="G17" s="2"/>
      <c r="H17" s="21"/>
      <c r="I17" s="21"/>
      <c r="J17" s="21"/>
    </row>
    <row r="18" spans="2:10" x14ac:dyDescent="0.3">
      <c r="B18" s="2"/>
      <c r="C18" s="2"/>
      <c r="D18" s="2"/>
      <c r="E18" s="2"/>
      <c r="F18" s="2"/>
      <c r="G18" s="2"/>
      <c r="H18" s="21"/>
      <c r="I18" s="21"/>
      <c r="J18" s="21"/>
    </row>
    <row r="19" spans="2:10" x14ac:dyDescent="0.3">
      <c r="B19" s="2"/>
      <c r="C19" s="2"/>
      <c r="D19" s="2"/>
      <c r="E19" s="2"/>
      <c r="F19" s="2"/>
      <c r="G19" s="2"/>
      <c r="H19" s="21"/>
      <c r="I19" s="21"/>
      <c r="J19" s="21"/>
    </row>
    <row r="20" spans="2:10" x14ac:dyDescent="0.3">
      <c r="B20" s="2"/>
      <c r="C20" s="2"/>
      <c r="D20" s="2"/>
      <c r="E20" s="2"/>
      <c r="F20" s="2"/>
      <c r="G20" s="2"/>
      <c r="H20" s="21"/>
      <c r="I20" s="21"/>
      <c r="J20" s="21"/>
    </row>
    <row r="21" spans="2:10" x14ac:dyDescent="0.3">
      <c r="B21" s="2"/>
      <c r="C21" s="2"/>
      <c r="D21" s="2"/>
      <c r="E21" s="2"/>
      <c r="F21" s="2"/>
      <c r="G21" s="2"/>
      <c r="H21" s="21"/>
      <c r="I21" s="21"/>
      <c r="J21" s="21"/>
    </row>
    <row r="22" spans="2:10" x14ac:dyDescent="0.3">
      <c r="B22" s="2"/>
      <c r="C22" s="2"/>
      <c r="D22" s="2"/>
      <c r="E22" s="2"/>
      <c r="F22" s="2"/>
      <c r="G22" s="2"/>
      <c r="H22" s="21"/>
      <c r="I22" s="21"/>
      <c r="J22" s="21"/>
    </row>
    <row r="23" spans="2:10" x14ac:dyDescent="0.3">
      <c r="B23" s="2"/>
      <c r="C23" s="2"/>
      <c r="D23" s="2"/>
      <c r="E23" s="2"/>
      <c r="F23" s="2"/>
      <c r="G23" s="2"/>
      <c r="H23" s="21"/>
      <c r="I23" s="21"/>
      <c r="J23" s="21"/>
    </row>
    <row r="24" spans="2:10" x14ac:dyDescent="0.3">
      <c r="B24" s="2"/>
      <c r="C24" s="2"/>
      <c r="D24" s="2"/>
      <c r="E24" s="2"/>
      <c r="F24" s="2"/>
      <c r="G24" s="2"/>
      <c r="H24" s="21"/>
      <c r="I24" s="21"/>
      <c r="J24" s="21"/>
    </row>
    <row r="25" spans="2:10" x14ac:dyDescent="0.3">
      <c r="B25" s="2"/>
      <c r="C25" s="2"/>
      <c r="D25" s="2"/>
      <c r="E25" s="2"/>
      <c r="F25" s="2"/>
      <c r="G25" s="2"/>
      <c r="H25" s="21"/>
      <c r="I25" s="21"/>
      <c r="J25" s="21"/>
    </row>
    <row r="26" spans="2:10" x14ac:dyDescent="0.3">
      <c r="B26" s="2"/>
      <c r="C26" s="2"/>
      <c r="D26" s="2"/>
      <c r="E26" s="2"/>
      <c r="F26" s="2"/>
      <c r="G26" s="2"/>
      <c r="H26" s="21"/>
      <c r="I26" s="21"/>
      <c r="J26" s="21"/>
    </row>
    <row r="27" spans="2:10" x14ac:dyDescent="0.3">
      <c r="B27" s="2"/>
      <c r="C27" s="2"/>
      <c r="D27" s="2"/>
      <c r="E27" s="2"/>
      <c r="F27" s="2"/>
      <c r="G27" s="2"/>
      <c r="H27" s="21"/>
      <c r="I27" s="21"/>
      <c r="J27" s="21"/>
    </row>
    <row r="28" spans="2:10" x14ac:dyDescent="0.3">
      <c r="B28" s="2"/>
      <c r="C28" s="2"/>
      <c r="D28" s="2"/>
      <c r="E28" s="2"/>
      <c r="F28" s="2"/>
      <c r="G28" s="2"/>
      <c r="H28" s="21"/>
      <c r="I28" s="21"/>
      <c r="J28" s="21"/>
    </row>
    <row r="29" spans="2:10" x14ac:dyDescent="0.3">
      <c r="B29" s="2"/>
      <c r="C29" s="2"/>
      <c r="D29" s="2"/>
      <c r="E29" s="2"/>
      <c r="F29" s="2"/>
      <c r="G29" s="2"/>
      <c r="H29" s="21"/>
      <c r="I29" s="21"/>
      <c r="J29" s="21"/>
    </row>
    <row r="30" spans="2:10" x14ac:dyDescent="0.3">
      <c r="B30" s="2"/>
      <c r="C30" s="2"/>
      <c r="D30" s="2"/>
      <c r="E30" s="2"/>
      <c r="F30" s="2"/>
      <c r="G30" s="2"/>
      <c r="H30" s="21"/>
      <c r="I30" s="21"/>
      <c r="J30" s="21"/>
    </row>
    <row r="31" spans="2:10" x14ac:dyDescent="0.3">
      <c r="B31" s="2"/>
      <c r="C31" s="2"/>
      <c r="D31" s="2"/>
      <c r="E31" s="2"/>
      <c r="F31" s="2"/>
      <c r="G31" s="2"/>
      <c r="H31" s="21"/>
      <c r="I31" s="21"/>
      <c r="J31" s="21"/>
    </row>
    <row r="32" spans="2:10" x14ac:dyDescent="0.3">
      <c r="B32" s="2"/>
      <c r="C32" s="2"/>
      <c r="D32" s="2"/>
      <c r="E32" s="2"/>
      <c r="F32" s="2"/>
      <c r="G32" s="2"/>
      <c r="H32" s="21"/>
      <c r="I32" s="21"/>
      <c r="J32" s="21"/>
    </row>
    <row r="34" spans="2:10" ht="15" thickBot="1" x14ac:dyDescent="0.35">
      <c r="B34" s="12" t="s">
        <v>11</v>
      </c>
      <c r="I34" s="41"/>
      <c r="J34" s="42"/>
    </row>
    <row r="35" spans="2:10" x14ac:dyDescent="0.3">
      <c r="B35" s="32"/>
      <c r="C35" s="33"/>
      <c r="D35" s="34"/>
      <c r="I35" s="7" t="s">
        <v>12</v>
      </c>
      <c r="J35" s="22">
        <f>SUM(J16:J32)</f>
        <v>0</v>
      </c>
    </row>
    <row r="36" spans="2:10" x14ac:dyDescent="0.3">
      <c r="B36" s="35"/>
      <c r="C36" s="36"/>
      <c r="D36" s="37"/>
      <c r="I36" s="7" t="s">
        <v>8</v>
      </c>
      <c r="J36" s="22">
        <f>SUM(I16:I32)</f>
        <v>0</v>
      </c>
    </row>
    <row r="37" spans="2:10" x14ac:dyDescent="0.3">
      <c r="B37" s="35"/>
      <c r="C37" s="36"/>
      <c r="D37" s="37"/>
      <c r="I37" s="9" t="s">
        <v>13</v>
      </c>
      <c r="J37" s="23">
        <f>SUM(J35:J36)</f>
        <v>0</v>
      </c>
    </row>
    <row r="38" spans="2:10" ht="15" thickBot="1" x14ac:dyDescent="0.35">
      <c r="B38" s="38"/>
      <c r="C38" s="39"/>
      <c r="D38" s="40"/>
    </row>
    <row r="40" spans="2:10" ht="15" thickBot="1" x14ac:dyDescent="0.35">
      <c r="B40" s="13" t="s">
        <v>14</v>
      </c>
      <c r="C40" s="43"/>
      <c r="D40" s="43"/>
      <c r="E40" s="43"/>
      <c r="F40" s="43"/>
      <c r="G40" s="43"/>
      <c r="H40" s="43"/>
      <c r="I40" s="44" t="s">
        <v>19</v>
      </c>
      <c r="J40" s="44"/>
    </row>
    <row r="41" spans="2:10" ht="15" thickBot="1" x14ac:dyDescent="0.35">
      <c r="B41" s="14" t="s">
        <v>15</v>
      </c>
      <c r="C41" s="30"/>
      <c r="D41" s="31"/>
      <c r="I41" s="15" t="s">
        <v>20</v>
      </c>
      <c r="J41" s="16"/>
    </row>
    <row r="42" spans="2:10" ht="15" thickBot="1" x14ac:dyDescent="0.35">
      <c r="B42" s="14" t="s">
        <v>16</v>
      </c>
      <c r="C42" s="30"/>
      <c r="D42" s="31"/>
      <c r="I42" s="17" t="s">
        <v>21</v>
      </c>
      <c r="J42" s="18"/>
    </row>
    <row r="43" spans="2:10" ht="15" thickBot="1" x14ac:dyDescent="0.35">
      <c r="B43" s="14" t="s">
        <v>17</v>
      </c>
      <c r="C43" s="30"/>
      <c r="D43" s="31"/>
      <c r="I43" s="17" t="s">
        <v>22</v>
      </c>
      <c r="J43" s="18"/>
    </row>
    <row r="44" spans="2:10" ht="15" thickBot="1" x14ac:dyDescent="0.35">
      <c r="B44" s="14" t="s">
        <v>18</v>
      </c>
      <c r="C44" s="30"/>
      <c r="D44" s="31"/>
      <c r="I44" s="19" t="s">
        <v>23</v>
      </c>
      <c r="J44" s="20"/>
    </row>
  </sheetData>
  <mergeCells count="14">
    <mergeCell ref="I34:J34"/>
    <mergeCell ref="C40:H40"/>
    <mergeCell ref="I40:J40"/>
    <mergeCell ref="B1:J1"/>
    <mergeCell ref="C3:E3"/>
    <mergeCell ref="C4:E4"/>
    <mergeCell ref="C5:E5"/>
    <mergeCell ref="C6:E6"/>
    <mergeCell ref="G3:J7"/>
    <mergeCell ref="C41:D41"/>
    <mergeCell ref="C42:D42"/>
    <mergeCell ref="C43:D43"/>
    <mergeCell ref="C44:D44"/>
    <mergeCell ref="B35:D38"/>
  </mergeCells>
  <dataValidations count="2">
    <dataValidation type="list" allowBlank="1" showInputMessage="1" showErrorMessage="1" sqref="B9" xr:uid="{B34F79CE-B856-4414-ABE8-FC132CA7B740}">
      <formula1>Customer_Name</formula1>
    </dataValidation>
    <dataValidation type="list" allowBlank="1" showInputMessage="1" showErrorMessage="1" sqref="C6:E6" xr:uid="{AB58646C-9970-4F5B-BB0C-AF4D85C74376}">
      <formula1>"15,30,45,60"</formula1>
    </dataValidation>
  </dataValidations>
  <pageMargins left="0.25" right="0.25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5DDDB-7D4A-4ECF-889B-9AABD928379D}">
  <sheetPr codeName="Sheet2"/>
  <dimension ref="A1:G8"/>
  <sheetViews>
    <sheetView workbookViewId="0">
      <selection activeCell="G7" sqref="G7"/>
    </sheetView>
  </sheetViews>
  <sheetFormatPr defaultRowHeight="14.4" x14ac:dyDescent="0.3"/>
  <cols>
    <col min="1" max="1" width="16.77734375" bestFit="1" customWidth="1"/>
    <col min="2" max="5" width="10.33203125" customWidth="1"/>
    <col min="6" max="6" width="11.33203125" bestFit="1" customWidth="1"/>
    <col min="7" max="7" width="15.6640625" customWidth="1"/>
  </cols>
  <sheetData>
    <row r="1" spans="1:7" x14ac:dyDescent="0.3">
      <c r="A1" t="s">
        <v>24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18</v>
      </c>
    </row>
    <row r="2" spans="1:7" x14ac:dyDescent="0.3">
      <c r="A2" t="s">
        <v>25</v>
      </c>
      <c r="B2" t="s">
        <v>36</v>
      </c>
      <c r="C2" t="s">
        <v>37</v>
      </c>
      <c r="D2" t="s">
        <v>38</v>
      </c>
      <c r="E2" t="s">
        <v>39</v>
      </c>
      <c r="F2">
        <v>95761</v>
      </c>
      <c r="G2" s="29" t="s">
        <v>26</v>
      </c>
    </row>
    <row r="3" spans="1:7" x14ac:dyDescent="0.3">
      <c r="A3" t="s">
        <v>27</v>
      </c>
      <c r="B3" t="s">
        <v>40</v>
      </c>
      <c r="C3" t="s">
        <v>41</v>
      </c>
      <c r="D3" t="s">
        <v>42</v>
      </c>
      <c r="E3" t="s">
        <v>43</v>
      </c>
      <c r="F3">
        <v>679123</v>
      </c>
      <c r="G3" s="29" t="s">
        <v>28</v>
      </c>
    </row>
    <row r="4" spans="1:7" x14ac:dyDescent="0.3">
      <c r="A4" t="s">
        <v>29</v>
      </c>
      <c r="B4" t="s">
        <v>44</v>
      </c>
      <c r="C4" t="s">
        <v>45</v>
      </c>
      <c r="D4" t="s">
        <v>46</v>
      </c>
      <c r="E4" t="s">
        <v>47</v>
      </c>
      <c r="F4">
        <v>48756</v>
      </c>
      <c r="G4" s="29" t="s">
        <v>30</v>
      </c>
    </row>
    <row r="5" spans="1:7" x14ac:dyDescent="0.3">
      <c r="G5" s="29"/>
    </row>
    <row r="6" spans="1:7" x14ac:dyDescent="0.3">
      <c r="G6" s="29"/>
    </row>
    <row r="7" spans="1:7" x14ac:dyDescent="0.3">
      <c r="G7" s="29"/>
    </row>
    <row r="8" spans="1:7" x14ac:dyDescent="0.3">
      <c r="G8" s="29"/>
    </row>
  </sheetData>
  <hyperlinks>
    <hyperlink ref="G2" r:id="rId1" xr:uid="{7D7F1392-B86A-4DC0-B446-4DC3B18428CE}"/>
    <hyperlink ref="G3" r:id="rId2" xr:uid="{4BDB89C0-2D54-4D54-9399-389BDFDB96C6}"/>
    <hyperlink ref="G4" r:id="rId3" xr:uid="{72051090-9F35-414D-A51F-62AFBD8A49B8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3F4F9-3D6E-4AAD-BE43-50C89B91AFAA}">
  <sheetPr codeName="Sheet3"/>
  <dimension ref="A1:F5"/>
  <sheetViews>
    <sheetView showGridLines="0" workbookViewId="0">
      <selection activeCell="H12" sqref="H12"/>
    </sheetView>
  </sheetViews>
  <sheetFormatPr defaultRowHeight="14.4" x14ac:dyDescent="0.3"/>
  <cols>
    <col min="1" max="1" width="9.88671875" bestFit="1" customWidth="1"/>
    <col min="2" max="2" width="8.5546875" bestFit="1" customWidth="1"/>
    <col min="3" max="3" width="7.21875" bestFit="1" customWidth="1"/>
    <col min="4" max="5" width="9.33203125" bestFit="1" customWidth="1"/>
    <col min="6" max="6" width="4.5546875" bestFit="1" customWidth="1"/>
  </cols>
  <sheetData>
    <row r="1" spans="1:6" x14ac:dyDescent="0.3">
      <c r="A1" t="s">
        <v>1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</row>
    <row r="2" spans="1:6" x14ac:dyDescent="0.3">
      <c r="A2">
        <v>1001</v>
      </c>
      <c r="B2" t="s">
        <v>25</v>
      </c>
      <c r="C2" s="63">
        <v>0</v>
      </c>
      <c r="D2" s="64">
        <v>45719</v>
      </c>
      <c r="E2" s="64">
        <v>45749</v>
      </c>
    </row>
    <row r="3" spans="1:6" x14ac:dyDescent="0.3">
      <c r="A3">
        <v>1002</v>
      </c>
      <c r="B3" t="s">
        <v>29</v>
      </c>
      <c r="C3" s="63">
        <v>0</v>
      </c>
      <c r="D3" s="64">
        <v>45719</v>
      </c>
      <c r="E3" s="64">
        <v>45734</v>
      </c>
    </row>
    <row r="4" spans="1:6" x14ac:dyDescent="0.3">
      <c r="C4" s="63"/>
      <c r="D4" s="64"/>
      <c r="E4" s="64"/>
    </row>
    <row r="5" spans="1:6" x14ac:dyDescent="0.3">
      <c r="C5" s="63"/>
      <c r="D5" s="64"/>
      <c r="E5" s="6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Customer_Name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Karuna k</dc:creator>
  <cp:lastModifiedBy>Karuna k</cp:lastModifiedBy>
  <cp:lastPrinted>2025-02-28T23:02:19Z</cp:lastPrinted>
  <dcterms:created xsi:type="dcterms:W3CDTF">2025-02-28T20:59:06Z</dcterms:created>
  <dcterms:modified xsi:type="dcterms:W3CDTF">2025-03-03T18:53:49Z</dcterms:modified>
</cp:coreProperties>
</file>